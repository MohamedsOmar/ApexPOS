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52" documentId="11_F25DC773A252ABDACC10486DC15A68B45BDE58EF" xr6:coauthVersionLast="47" xr6:coauthVersionMax="47" xr10:uidLastSave="{A8650C87-ECFB-4B8F-9924-933E687D334E}"/>
  <bookViews>
    <workbookView xWindow="-120" yWindow="-120" windowWidth="29040" windowHeight="15720" xr2:uid="{00000000-000D-0000-FFFF-FFFF00000000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6" i="1"/>
  <c r="I8" i="1"/>
  <c r="I9" i="1"/>
  <c r="I10" i="1"/>
  <c r="I11" i="1"/>
  <c r="I12" i="1"/>
  <c r="I13" i="1"/>
  <c r="I2" i="1"/>
  <c r="G3" i="1"/>
  <c r="G4" i="1"/>
  <c r="G5" i="1"/>
  <c r="I5" i="1" s="1"/>
  <c r="G6" i="1"/>
  <c r="G7" i="1"/>
  <c r="I7" i="1" s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<sst xmlns="http://schemas.openxmlformats.org/spreadsheetml/2006/main" count="26" uniqueCount="16">
  <si>
    <t>CREATED_BY</t>
  </si>
  <si>
    <t>UPDATED_BY</t>
  </si>
  <si>
    <t>CREATION_DATE</t>
  </si>
  <si>
    <t>UPDATE_DATE</t>
  </si>
  <si>
    <t>INV_ID</t>
  </si>
  <si>
    <t>INV_LINE_ID</t>
  </si>
  <si>
    <t>ITEM_ID</t>
  </si>
  <si>
    <t>QTY</t>
  </si>
  <si>
    <t>PRICE</t>
  </si>
  <si>
    <t>TOTAL_BEFORE_TAX</t>
  </si>
  <si>
    <t>TAX_AMT</t>
  </si>
  <si>
    <t>TOTAL_AFTER_TAX</t>
  </si>
  <si>
    <t>UNIT</t>
  </si>
  <si>
    <t>دقيقه</t>
  </si>
  <si>
    <t>قطعة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</si>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</sst>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I1" zoomScale="175" zoomScaleNormal="175" workbookViewId="0">
      <selection activeCell="N2" sqref="N2:N13"/>
    </sheetView>
  </sheetViews>
  <sheetFormatPr defaultRowHeight="15" x14ac:dyDescent="0.25"/>
  <cols>
    <col min="1" max="1" width="12" style="1" bestFit="1" customWidth="1"/>
    <col min="2" max="2" width="7.140625" style="1" bestFit="1" customWidth="1"/>
    <col min="3" max="3" width="8.42578125" style="1" bestFit="1" customWidth="1"/>
    <col min="4" max="4" width="5.7109375" style="3" bestFit="1" customWidth="1"/>
    <col min="5" max="5" width="5.42578125" style="1" bestFit="1" customWidth="1"/>
    <col min="6" max="6" width="6.85546875" style="3" bestFit="1" customWidth="1"/>
    <col min="7" max="7" width="19.28515625" style="3" bestFit="1" customWidth="1"/>
    <col min="8" max="8" width="9.5703125" style="3" bestFit="1" customWidth="1"/>
    <col min="9" max="9" width="17.7109375" style="3" bestFit="1" customWidth="1"/>
    <col min="10" max="10" width="12.28515625" style="1" bestFit="1" customWidth="1"/>
    <col min="11" max="11" width="12.5703125" style="1" bestFit="1" customWidth="1"/>
    <col min="12" max="12" width="15.7109375" style="1" bestFit="1" customWidth="1"/>
    <col min="13" max="13" width="13.85546875" style="1" bestFit="1" customWidth="1"/>
    <col min="14" max="16384" width="9.140625" style="1"/>
  </cols>
  <sheetData>
    <row r="1" spans="1:14" x14ac:dyDescent="0.25">
      <c r="A1" s="1" t="s">
        <v>5</v>
      </c>
      <c r="B1" s="1" t="s">
        <v>4</v>
      </c>
      <c r="C1" s="1" t="s">
        <v>6</v>
      </c>
      <c r="D1" s="3" t="s">
        <v>7</v>
      </c>
      <c r="E1" s="1" t="s">
        <v>12</v>
      </c>
      <c r="F1" s="3" t="s">
        <v>8</v>
      </c>
      <c r="G1" s="3" t="s">
        <v>9</v>
      </c>
      <c r="H1" s="3" t="s">
        <v>10</v>
      </c>
      <c r="I1" s="3" t="s">
        <v>11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15</v>
      </c>
    </row>
    <row r="2" spans="1:14" x14ac:dyDescent="0.25">
      <c r="A2" s="1">
        <v>10001</v>
      </c>
      <c r="B2" s="1">
        <v>10001</v>
      </c>
      <c r="C2" s="1">
        <v>10001</v>
      </c>
      <c r="D2" s="3">
        <v>1</v>
      </c>
      <c r="E2" s="1" t="s">
        <v>13</v>
      </c>
      <c r="F2" s="3">
        <v>3</v>
      </c>
      <c r="G2" s="3">
        <f>F2*D2</f>
        <v>3</v>
      </c>
      <c r="H2" s="3">
        <v>0.14000000000000001</v>
      </c>
      <c r="I2" s="3">
        <f>+H2*G2</f>
        <v>0.42000000000000004</v>
      </c>
      <c r="J2" s="1">
        <v>10001</v>
      </c>
      <c r="K2" s="1">
        <v>10001</v>
      </c>
      <c r="L2" s="2"/>
      <c r="N2" s="1">
        <v>0</v>
      </c>
    </row>
    <row r="3" spans="1:14" x14ac:dyDescent="0.25">
      <c r="A3" s="1">
        <v>10002</v>
      </c>
      <c r="B3" s="1">
        <v>10001</v>
      </c>
      <c r="C3" s="1">
        <v>10002</v>
      </c>
      <c r="D3" s="3">
        <v>1.5</v>
      </c>
      <c r="E3" s="1" t="s">
        <v>14</v>
      </c>
      <c r="F3" s="3">
        <v>700</v>
      </c>
      <c r="G3" s="3">
        <f t="shared" ref="G3:G13" si="0">F3*D3</f>
        <v>1050</v>
      </c>
      <c r="H3" s="3">
        <v>0.14000000000000001</v>
      </c>
      <c r="I3" s="3">
        <f t="shared" ref="I3:I13" si="1">+H3*G3</f>
        <v>147</v>
      </c>
      <c r="J3" s="1">
        <v>10001</v>
      </c>
      <c r="K3" s="1">
        <v>10001</v>
      </c>
      <c r="L3" s="2"/>
      <c r="N3" s="1">
        <v>0</v>
      </c>
    </row>
    <row r="4" spans="1:14" x14ac:dyDescent="0.25">
      <c r="A4" s="1">
        <v>10003</v>
      </c>
      <c r="B4" s="1">
        <v>10001</v>
      </c>
      <c r="C4" s="1">
        <v>10003</v>
      </c>
      <c r="D4" s="3">
        <v>1</v>
      </c>
      <c r="E4" s="1" t="s">
        <v>14</v>
      </c>
      <c r="F4" s="3">
        <v>20</v>
      </c>
      <c r="G4" s="3">
        <f t="shared" si="0"/>
        <v>20</v>
      </c>
      <c r="H4" s="3">
        <v>0.14000000000000001</v>
      </c>
      <c r="I4" s="3">
        <f t="shared" si="1"/>
        <v>2.8000000000000003</v>
      </c>
      <c r="J4" s="1">
        <v>10001</v>
      </c>
      <c r="K4" s="1">
        <v>10001</v>
      </c>
      <c r="L4" s="2"/>
      <c r="N4" s="1">
        <v>0</v>
      </c>
    </row>
    <row r="5" spans="1:14" x14ac:dyDescent="0.25">
      <c r="A5" s="1">
        <v>10004</v>
      </c>
      <c r="B5" s="1">
        <v>10001</v>
      </c>
      <c r="C5" s="1">
        <v>10004</v>
      </c>
      <c r="D5" s="3">
        <v>20.5</v>
      </c>
      <c r="E5" s="1" t="s">
        <v>14</v>
      </c>
      <c r="F5" s="3">
        <v>20</v>
      </c>
      <c r="G5" s="3">
        <f t="shared" si="0"/>
        <v>410</v>
      </c>
      <c r="H5" s="3">
        <v>0.14000000000000001</v>
      </c>
      <c r="I5" s="3">
        <f t="shared" si="1"/>
        <v>57.400000000000006</v>
      </c>
      <c r="J5" s="1">
        <v>10001</v>
      </c>
      <c r="K5" s="1">
        <v>10001</v>
      </c>
      <c r="L5" s="2"/>
      <c r="N5" s="1">
        <v>0</v>
      </c>
    </row>
    <row r="6" spans="1:14" x14ac:dyDescent="0.25">
      <c r="A6" s="1">
        <v>10005</v>
      </c>
      <c r="B6" s="1">
        <v>10001</v>
      </c>
      <c r="C6" s="1">
        <v>10005</v>
      </c>
      <c r="D6" s="3">
        <v>1</v>
      </c>
      <c r="E6" s="1" t="s">
        <v>14</v>
      </c>
      <c r="F6" s="3">
        <v>230</v>
      </c>
      <c r="G6" s="3">
        <f t="shared" si="0"/>
        <v>230</v>
      </c>
      <c r="H6" s="3">
        <v>0.14000000000000001</v>
      </c>
      <c r="I6" s="3">
        <f t="shared" si="1"/>
        <v>32.200000000000003</v>
      </c>
      <c r="J6" s="1">
        <v>10001</v>
      </c>
      <c r="K6" s="1">
        <v>10001</v>
      </c>
      <c r="L6" s="2"/>
      <c r="N6" s="1">
        <v>0</v>
      </c>
    </row>
    <row r="7" spans="1:14" x14ac:dyDescent="0.25">
      <c r="A7" s="1">
        <v>10006</v>
      </c>
      <c r="B7" s="1">
        <v>10001</v>
      </c>
      <c r="C7" s="1">
        <v>10006</v>
      </c>
      <c r="D7" s="3">
        <v>10.9</v>
      </c>
      <c r="E7" s="1" t="s">
        <v>14</v>
      </c>
      <c r="F7" s="3">
        <v>5</v>
      </c>
      <c r="G7" s="3">
        <f t="shared" si="0"/>
        <v>54.5</v>
      </c>
      <c r="H7" s="3">
        <v>0.14000000000000001</v>
      </c>
      <c r="I7" s="3">
        <f t="shared" si="1"/>
        <v>7.6300000000000008</v>
      </c>
      <c r="J7" s="1">
        <v>10001</v>
      </c>
      <c r="K7" s="1">
        <v>10001</v>
      </c>
      <c r="L7" s="2"/>
      <c r="N7" s="1">
        <v>0</v>
      </c>
    </row>
    <row r="8" spans="1:14" x14ac:dyDescent="0.25">
      <c r="A8" s="1">
        <v>10007</v>
      </c>
      <c r="B8" s="1">
        <v>10001</v>
      </c>
      <c r="C8" s="1">
        <v>10007</v>
      </c>
      <c r="D8" s="3">
        <v>1</v>
      </c>
      <c r="E8" s="1" t="s">
        <v>14</v>
      </c>
      <c r="F8" s="3">
        <v>300</v>
      </c>
      <c r="G8" s="3">
        <f t="shared" si="0"/>
        <v>300</v>
      </c>
      <c r="H8" s="3">
        <v>0.14000000000000001</v>
      </c>
      <c r="I8" s="3">
        <f t="shared" si="1"/>
        <v>42.000000000000007</v>
      </c>
      <c r="J8" s="1">
        <v>10001</v>
      </c>
      <c r="K8" s="1">
        <v>10001</v>
      </c>
      <c r="L8" s="2"/>
      <c r="N8" s="1">
        <v>0</v>
      </c>
    </row>
    <row r="9" spans="1:14" x14ac:dyDescent="0.25">
      <c r="A9" s="1">
        <v>10008</v>
      </c>
      <c r="B9" s="1">
        <v>10001</v>
      </c>
      <c r="C9" s="1">
        <v>10008</v>
      </c>
      <c r="D9" s="3">
        <v>1</v>
      </c>
      <c r="E9" s="1" t="s">
        <v>14</v>
      </c>
      <c r="F9" s="3">
        <v>40</v>
      </c>
      <c r="G9" s="3">
        <f t="shared" si="0"/>
        <v>40</v>
      </c>
      <c r="H9" s="3">
        <v>0.14000000000000001</v>
      </c>
      <c r="I9" s="3">
        <f t="shared" si="1"/>
        <v>5.6000000000000005</v>
      </c>
      <c r="J9" s="1">
        <v>10001</v>
      </c>
      <c r="K9" s="1">
        <v>10001</v>
      </c>
      <c r="L9" s="2"/>
      <c r="N9" s="1">
        <v>0</v>
      </c>
    </row>
    <row r="10" spans="1:14" x14ac:dyDescent="0.25">
      <c r="A10" s="1">
        <v>10009</v>
      </c>
      <c r="B10" s="1">
        <v>10001</v>
      </c>
      <c r="C10" s="1">
        <v>10009</v>
      </c>
      <c r="D10" s="3">
        <v>1</v>
      </c>
      <c r="E10" s="1" t="s">
        <v>14</v>
      </c>
      <c r="F10" s="3">
        <v>250</v>
      </c>
      <c r="G10" s="3">
        <f t="shared" si="0"/>
        <v>250</v>
      </c>
      <c r="H10" s="3">
        <v>0.14000000000000001</v>
      </c>
      <c r="I10" s="3">
        <f t="shared" si="1"/>
        <v>35</v>
      </c>
      <c r="J10" s="1">
        <v>10001</v>
      </c>
      <c r="K10" s="1">
        <v>10001</v>
      </c>
      <c r="L10" s="2"/>
      <c r="N10" s="1">
        <v>0</v>
      </c>
    </row>
    <row r="11" spans="1:14" x14ac:dyDescent="0.25">
      <c r="A11" s="1">
        <v>10010</v>
      </c>
      <c r="B11" s="1">
        <v>10001</v>
      </c>
      <c r="C11" s="1">
        <v>10010</v>
      </c>
      <c r="D11" s="3">
        <v>1</v>
      </c>
      <c r="E11" s="1" t="s">
        <v>14</v>
      </c>
      <c r="F11" s="3">
        <v>30</v>
      </c>
      <c r="G11" s="3">
        <f t="shared" si="0"/>
        <v>30</v>
      </c>
      <c r="H11" s="3">
        <v>0.14000000000000001</v>
      </c>
      <c r="I11" s="3">
        <f t="shared" si="1"/>
        <v>4.2</v>
      </c>
      <c r="J11" s="1">
        <v>10001</v>
      </c>
      <c r="K11" s="1">
        <v>10001</v>
      </c>
      <c r="L11" s="2"/>
      <c r="N11" s="1">
        <v>0</v>
      </c>
    </row>
    <row r="12" spans="1:14" x14ac:dyDescent="0.25">
      <c r="A12" s="1">
        <v>10011</v>
      </c>
      <c r="B12" s="1">
        <v>10001</v>
      </c>
      <c r="C12" s="1">
        <v>10011</v>
      </c>
      <c r="D12" s="3">
        <v>1</v>
      </c>
      <c r="E12" s="1" t="s">
        <v>14</v>
      </c>
      <c r="F12" s="3">
        <v>15</v>
      </c>
      <c r="G12" s="3">
        <f t="shared" si="0"/>
        <v>15</v>
      </c>
      <c r="H12" s="3">
        <v>0.14000000000000001</v>
      </c>
      <c r="I12" s="3">
        <f t="shared" si="1"/>
        <v>2.1</v>
      </c>
      <c r="J12" s="1">
        <v>10001</v>
      </c>
      <c r="K12" s="1">
        <v>10001</v>
      </c>
      <c r="N12" s="1">
        <v>0</v>
      </c>
    </row>
    <row r="13" spans="1:14" x14ac:dyDescent="0.25">
      <c r="A13" s="1">
        <v>10012</v>
      </c>
      <c r="B13" s="1">
        <v>10001</v>
      </c>
      <c r="C13" s="1">
        <v>10012</v>
      </c>
      <c r="D13" s="3">
        <v>1</v>
      </c>
      <c r="E13" s="1" t="s">
        <v>14</v>
      </c>
      <c r="F13" s="3">
        <v>250</v>
      </c>
      <c r="G13" s="3">
        <f t="shared" si="0"/>
        <v>250</v>
      </c>
      <c r="H13" s="3">
        <v>0.14000000000000001</v>
      </c>
      <c r="I13" s="3">
        <f t="shared" si="1"/>
        <v>35</v>
      </c>
      <c r="J13" s="1">
        <v>10001</v>
      </c>
      <c r="K13" s="1">
        <v>10001</v>
      </c>
      <c r="N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2025-12-25T10:39:33Z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